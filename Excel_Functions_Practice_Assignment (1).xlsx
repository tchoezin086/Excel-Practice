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nzin choezin\Downloads\"/>
    </mc:Choice>
  </mc:AlternateContent>
  <xr:revisionPtr revIDLastSave="0" documentId="13_ncr:1_{81AD6F3F-0E5C-4FF8-AAE5-2B862AEFB9B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_Data" sheetId="1" r:id="rId1"/>
    <sheet name="Product_Catalog" sheetId="2" r:id="rId2"/>
    <sheet name="Assignment_Tasks" sheetId="3" r:id="rId3"/>
  </sheets>
  <calcPr calcId="191029"/>
</workbook>
</file>

<file path=xl/calcChain.xml><?xml version="1.0" encoding="utf-8"?>
<calcChain xmlns="http://schemas.openxmlformats.org/spreadsheetml/2006/main">
  <c r="D7" i="3" l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6" i="3"/>
  <c r="D5" i="3"/>
  <c r="D4" i="3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<sst xmlns="http://schemas.openxmlformats.org/spreadsheetml/2006/main" count="171" uniqueCount="127">
  <si>
    <t>Global Tech Retailers - Sales Transactions Log</t>
  </si>
  <si>
    <t>Txn_ID</t>
  </si>
  <si>
    <t>Date</t>
  </si>
  <si>
    <t>Product_ID</t>
  </si>
  <si>
    <t>Region</t>
  </si>
  <si>
    <t>Sales_Rep</t>
  </si>
  <si>
    <t>Units_Sold</t>
  </si>
  <si>
    <t>Unit_Price</t>
  </si>
  <si>
    <t>Customer_Rating</t>
  </si>
  <si>
    <t>Product_Name (Task 5)</t>
  </si>
  <si>
    <t>Discount_Rate (Task 6)</t>
  </si>
  <si>
    <t>TXN-101</t>
  </si>
  <si>
    <t>2026-01-05</t>
  </si>
  <si>
    <t>P-01</t>
  </si>
  <si>
    <t>North</t>
  </si>
  <si>
    <t>Sarah</t>
  </si>
  <si>
    <t>TXN-102</t>
  </si>
  <si>
    <t>2026-01-07</t>
  </si>
  <si>
    <t>P-02</t>
  </si>
  <si>
    <t>East</t>
  </si>
  <si>
    <t>Raj</t>
  </si>
  <si>
    <t>TXN-103</t>
  </si>
  <si>
    <t>2026-01-10</t>
  </si>
  <si>
    <t>P-03</t>
  </si>
  <si>
    <t>TXN-104</t>
  </si>
  <si>
    <t>2026-01-12</t>
  </si>
  <si>
    <t>West</t>
  </si>
  <si>
    <t>Amit</t>
  </si>
  <si>
    <t>TXN-105</t>
  </si>
  <si>
    <t>2026-01-15</t>
  </si>
  <si>
    <t>P-04</t>
  </si>
  <si>
    <t>South</t>
  </si>
  <si>
    <t>Priya</t>
  </si>
  <si>
    <t>TXN-106</t>
  </si>
  <si>
    <t>2026-01-18</t>
  </si>
  <si>
    <t>TXN-107</t>
  </si>
  <si>
    <t>2026-01-20</t>
  </si>
  <si>
    <t>P-05</t>
  </si>
  <si>
    <t>TXN-108</t>
  </si>
  <si>
    <t>2026-01-22</t>
  </si>
  <si>
    <t>TXN-109</t>
  </si>
  <si>
    <t>2026-01-25</t>
  </si>
  <si>
    <t>TXN-110</t>
  </si>
  <si>
    <t>2026-01-28</t>
  </si>
  <si>
    <t>Product Reference Catalog &amp; Discount Schedules</t>
  </si>
  <si>
    <t>Table A: Product Master Catalog (Vertical)</t>
  </si>
  <si>
    <t>Category</t>
  </si>
  <si>
    <t>Product_Name</t>
  </si>
  <si>
    <t>Supplier</t>
  </si>
  <si>
    <t>Electronics</t>
  </si>
  <si>
    <t>Laptop Pro</t>
  </si>
  <si>
    <t>TechCorp</t>
  </si>
  <si>
    <t>Tablet Air</t>
  </si>
  <si>
    <t>PadMaker</t>
  </si>
  <si>
    <t>Accessories</t>
  </si>
  <si>
    <t>Wireless Mouse</t>
  </si>
  <si>
    <t>LogiGear</t>
  </si>
  <si>
    <t>USB Cable</t>
  </si>
  <si>
    <t>CableMax</t>
  </si>
  <si>
    <t>Office</t>
  </si>
  <si>
    <t>Ergonomic Chair</t>
  </si>
  <si>
    <t>ComfortPlus</t>
  </si>
  <si>
    <t>Table B: Volume Discount Matrix (Horizontal)</t>
  </si>
  <si>
    <t>Discount Rate</t>
  </si>
  <si>
    <t>Excel Aggregate &amp; Lookup Function Practice Assignment</t>
  </si>
  <si>
    <t>Task ID</t>
  </si>
  <si>
    <t>Category / Topic</t>
  </si>
  <si>
    <t>Task Question / Objective</t>
  </si>
  <si>
    <t>Your Formula Here</t>
  </si>
  <si>
    <t>Expected Output</t>
  </si>
  <si>
    <t>Task 1A</t>
  </si>
  <si>
    <t>Counting Functions</t>
  </si>
  <si>
    <t>Count the total number of numeric entries in Units_Sold column.</t>
  </si>
  <si>
    <t>Task 1B</t>
  </si>
  <si>
    <t>Count total non-empty transactions in Txn_ID column.</t>
  </si>
  <si>
    <t>Task 1C</t>
  </si>
  <si>
    <t>Count how many transactions have missing (blank) Customer_Rating.</t>
  </si>
  <si>
    <t>Task 2A</t>
  </si>
  <si>
    <t>Conditional Counting</t>
  </si>
  <si>
    <t>Count how many transactions were completed by sales rep 'Sarah'.</t>
  </si>
  <si>
    <t>Task 2B</t>
  </si>
  <si>
    <t>Count transactions in 'North' region where Units_Sold is greater than 5.</t>
  </si>
  <si>
    <t>Task 3A</t>
  </si>
  <si>
    <t>Aggregations &amp; Math</t>
  </si>
  <si>
    <t>Calculate the overall average Units_Sold across all recorded sales.</t>
  </si>
  <si>
    <t>Task 3B</t>
  </si>
  <si>
    <t>Calculate total Units_Sold only for Product_ID 'P-01'.</t>
  </si>
  <si>
    <t>Task 3C</t>
  </si>
  <si>
    <t>Calculate total Units_Sold by 'Amit' in the 'West' region.</t>
  </si>
  <si>
    <t>Task 4A</t>
  </si>
  <si>
    <t>Target Averages</t>
  </si>
  <si>
    <t>Calculate average Customer_Rating for the 'North' region.</t>
  </si>
  <si>
    <t>Task 4B</t>
  </si>
  <si>
    <t>Calculate average Units_Sold by 'Sarah' for transactions with Customer_Rating &gt;= 4.</t>
  </si>
  <si>
    <t>Task 5</t>
  </si>
  <si>
    <t>Vertical Lookups</t>
  </si>
  <si>
    <t>Populate Product_Name in Sales_Data column I using VLOOKUP.</t>
  </si>
  <si>
    <t>See Column I in Sales_Data</t>
  </si>
  <si>
    <t>Task 6</t>
  </si>
  <si>
    <t>Horizontal Lookups</t>
  </si>
  <si>
    <t>Populate Discount_Rate in Sales_Data column J using HLOOKUP.</t>
  </si>
  <si>
    <t>See Column J in Sales_Data</t>
  </si>
  <si>
    <t>Task 7</t>
  </si>
  <si>
    <t>INDEX &amp; MATCH</t>
  </si>
  <si>
    <t>Write a 2-way INDEX+MATCH to dynamically find Supplier for Product ID 'P-03'.</t>
  </si>
  <si>
    <t>Task 8</t>
  </si>
  <si>
    <t>Reverse INDEX &amp; MATCH</t>
  </si>
  <si>
    <t>Look up Product_ID where Product_Name is 'Ergonomic Chair' (Left Lookup).</t>
  </si>
  <si>
    <t>Task 9A</t>
  </si>
  <si>
    <t>Advanced Aggregations</t>
  </si>
  <si>
    <t>Calculate total sales revenue (Units_Sold * Unit_Price) for the 'North' region only.</t>
  </si>
  <si>
    <t>$15,390</t>
  </si>
  <si>
    <t>Task 9B</t>
  </si>
  <si>
    <t>Calculate the average Customer_Rating ignoring all blank ratings and ratings equal to 1.</t>
  </si>
  <si>
    <t>4.25</t>
  </si>
  <si>
    <t>Task 10A</t>
  </si>
  <si>
    <t>Dynamic Lookups</t>
  </si>
  <si>
    <t>Use INDEX + MATCH to find the Sales Rep who made the single highest unit sale.</t>
  </si>
  <si>
    <t>Task 10B</t>
  </si>
  <si>
    <t>Use INDEX + MATCH to find the Date of transaction 'TXN-108'.</t>
  </si>
  <si>
    <t>Task 11A</t>
  </si>
  <si>
    <t>Error Handling &amp; Logic</t>
  </si>
  <si>
    <t>Write a formula using IF + ISBLANK to return 'Incomplete' if Units_Sold is blank, else 'Complete' for row TXN-103.</t>
  </si>
  <si>
    <t>Incomplete</t>
  </si>
  <si>
    <t>Task 11B</t>
  </si>
  <si>
    <t>Write a VLOOKUP wrapped in IFERROR to look up Product ID 'P-99' (which doesn't exist) and return 'Not Found'.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</si>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</sst>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b/>
      <sz val="13"/>
      <color rgb="FF1F4E79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165" fontId="4" fillId="0" borderId="1" xfId="1" applyNumberFormat="1" applyFont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opLeftCell="A2" workbookViewId="0">
      <selection activeCell="F6" sqref="F6"/>
    </sheetView>
  </sheetViews>
  <sheetFormatPr defaultRowHeight="14.5" x14ac:dyDescent="0.35"/>
  <cols>
    <col min="1" max="1" width="12" customWidth="1"/>
    <col min="2" max="3" width="14" customWidth="1"/>
    <col min="4" max="4" width="12" customWidth="1"/>
    <col min="5" max="5" width="13" customWidth="1"/>
    <col min="6" max="7" width="14" customWidth="1"/>
    <col min="8" max="8" width="19" customWidth="1"/>
    <col min="9" max="9" width="25" customWidth="1"/>
    <col min="10" max="10" width="26" customWidth="1"/>
  </cols>
  <sheetData>
    <row r="1" spans="1:10" ht="21" x14ac:dyDescent="0.5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3" spans="1:10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4">
        <v>12</v>
      </c>
      <c r="G4" s="5">
        <v>1200</v>
      </c>
      <c r="H4" s="4">
        <v>5</v>
      </c>
      <c r="I4" s="6" t="str">
        <f>VLOOKUP(C4,Product_Catalog!$A$4:$D$9,3,FALSE)</f>
        <v>Laptop Pro</v>
      </c>
      <c r="J4" s="22">
        <f>HLOOKUP(C4,Product_Catalog!$A$13:$F$14,2,FALSE)</f>
        <v>0.1</v>
      </c>
    </row>
    <row r="5" spans="1:10" x14ac:dyDescent="0.35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8">
        <v>5</v>
      </c>
      <c r="G5" s="9">
        <v>800</v>
      </c>
      <c r="H5" s="8">
        <v>4</v>
      </c>
      <c r="I5" s="6" t="str">
        <f>VLOOKUP(C5,Product_Catalog!$A$4:$D$9,3,FALSE)</f>
        <v>Tablet Air</v>
      </c>
      <c r="J5" s="22">
        <f>HLOOKUP(C5,Product_Catalog!$A$13:$F$14,2,FALSE)</f>
        <v>0.05</v>
      </c>
    </row>
    <row r="6" spans="1:10" x14ac:dyDescent="0.35">
      <c r="A6" s="3" t="s">
        <v>21</v>
      </c>
      <c r="B6" s="3" t="s">
        <v>22</v>
      </c>
      <c r="C6" s="3" t="s">
        <v>23</v>
      </c>
      <c r="D6" s="3" t="s">
        <v>14</v>
      </c>
      <c r="E6" s="3" t="s">
        <v>15</v>
      </c>
      <c r="F6" s="10"/>
      <c r="G6" s="5">
        <v>150</v>
      </c>
      <c r="H6" s="4">
        <v>3</v>
      </c>
      <c r="I6" s="6" t="str">
        <f>VLOOKUP(C6,Product_Catalog!$A$4:$D$9,3,FALSE)</f>
        <v>Wireless Mouse</v>
      </c>
      <c r="J6" s="22">
        <f>HLOOKUP(C6,Product_Catalog!$A$13:$F$14,2,FALSE)</f>
        <v>0</v>
      </c>
    </row>
    <row r="7" spans="1:10" x14ac:dyDescent="0.35">
      <c r="A7" s="7" t="s">
        <v>24</v>
      </c>
      <c r="B7" s="7" t="s">
        <v>25</v>
      </c>
      <c r="C7" s="7" t="s">
        <v>13</v>
      </c>
      <c r="D7" s="7" t="s">
        <v>26</v>
      </c>
      <c r="E7" s="7" t="s">
        <v>27</v>
      </c>
      <c r="F7" s="8">
        <v>8</v>
      </c>
      <c r="G7" s="9">
        <v>1200</v>
      </c>
      <c r="H7" s="8">
        <v>5</v>
      </c>
      <c r="I7" s="6" t="str">
        <f>VLOOKUP(C7,Product_Catalog!$A$4:$D$9,3,FALSE)</f>
        <v>Laptop Pro</v>
      </c>
      <c r="J7" s="22">
        <f>HLOOKUP(C7,Product_Catalog!$A$13:$F$14,2,FALSE)</f>
        <v>0.1</v>
      </c>
    </row>
    <row r="8" spans="1:10" x14ac:dyDescent="0.35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4">
        <v>15</v>
      </c>
      <c r="G8" s="5">
        <v>45</v>
      </c>
      <c r="H8" s="10"/>
      <c r="I8" s="6" t="str">
        <f>VLOOKUP(C8,Product_Catalog!$A$4:$D$9,3,FALSE)</f>
        <v>USB Cable</v>
      </c>
      <c r="J8" s="22">
        <f>HLOOKUP(C8,Product_Catalog!$A$13:$F$14,2,FALSE)</f>
        <v>0.02</v>
      </c>
    </row>
    <row r="9" spans="1:10" x14ac:dyDescent="0.35">
      <c r="A9" s="7" t="s">
        <v>33</v>
      </c>
      <c r="B9" s="7" t="s">
        <v>34</v>
      </c>
      <c r="C9" s="7" t="s">
        <v>18</v>
      </c>
      <c r="D9" s="7" t="s">
        <v>14</v>
      </c>
      <c r="E9" s="7" t="s">
        <v>20</v>
      </c>
      <c r="F9" s="8">
        <v>2</v>
      </c>
      <c r="G9" s="9">
        <v>800</v>
      </c>
      <c r="H9" s="8">
        <v>2</v>
      </c>
      <c r="I9" s="6" t="str">
        <f>VLOOKUP(C9,Product_Catalog!$A$4:$D$9,3,FALSE)</f>
        <v>Tablet Air</v>
      </c>
      <c r="J9" s="22">
        <f>HLOOKUP(C9,Product_Catalog!$A$13:$F$14,2,FALSE)</f>
        <v>0.05</v>
      </c>
    </row>
    <row r="10" spans="1:10" x14ac:dyDescent="0.35">
      <c r="A10" s="3" t="s">
        <v>35</v>
      </c>
      <c r="B10" s="3" t="s">
        <v>36</v>
      </c>
      <c r="C10" s="3" t="s">
        <v>37</v>
      </c>
      <c r="D10" s="3" t="s">
        <v>26</v>
      </c>
      <c r="E10" s="3" t="s">
        <v>27</v>
      </c>
      <c r="F10" s="4">
        <v>20</v>
      </c>
      <c r="G10" s="10"/>
      <c r="H10" s="4">
        <v>4</v>
      </c>
      <c r="I10" s="6" t="str">
        <f>VLOOKUP(C10,Product_Catalog!$A$4:$D$9,3,FALSE)</f>
        <v>Ergonomic Chair</v>
      </c>
      <c r="J10" s="22">
        <f>HLOOKUP(C10,Product_Catalog!$A$13:$F$14,2,FALSE)</f>
        <v>0.15</v>
      </c>
    </row>
    <row r="11" spans="1:10" x14ac:dyDescent="0.35">
      <c r="A11" s="7" t="s">
        <v>38</v>
      </c>
      <c r="B11" s="7" t="s">
        <v>39</v>
      </c>
      <c r="C11" s="7" t="s">
        <v>23</v>
      </c>
      <c r="D11" s="7" t="s">
        <v>31</v>
      </c>
      <c r="E11" s="7" t="s">
        <v>32</v>
      </c>
      <c r="F11" s="8">
        <v>10</v>
      </c>
      <c r="G11" s="9">
        <v>150</v>
      </c>
      <c r="H11" s="8">
        <v>5</v>
      </c>
      <c r="I11" s="6" t="str">
        <f>VLOOKUP(C11,Product_Catalog!$A$4:$D$9,3,FALSE)</f>
        <v>Wireless Mouse</v>
      </c>
      <c r="J11" s="22">
        <f>HLOOKUP(C11,Product_Catalog!$A$13:$F$14,2,FALSE)</f>
        <v>0</v>
      </c>
    </row>
    <row r="12" spans="1:10" x14ac:dyDescent="0.35">
      <c r="A12" s="3" t="s">
        <v>40</v>
      </c>
      <c r="B12" s="3" t="s">
        <v>41</v>
      </c>
      <c r="C12" s="3" t="s">
        <v>13</v>
      </c>
      <c r="D12" s="3" t="s">
        <v>19</v>
      </c>
      <c r="E12" s="3" t="s">
        <v>15</v>
      </c>
      <c r="F12" s="4">
        <v>4</v>
      </c>
      <c r="G12" s="5">
        <v>1200</v>
      </c>
      <c r="H12" s="10"/>
      <c r="I12" s="6" t="str">
        <f>VLOOKUP(C12,Product_Catalog!$A$4:$D$9,3,FALSE)</f>
        <v>Laptop Pro</v>
      </c>
      <c r="J12" s="22">
        <f>HLOOKUP(C12,Product_Catalog!$A$13:$F$14,2,FALSE)</f>
        <v>0.1</v>
      </c>
    </row>
    <row r="13" spans="1:10" x14ac:dyDescent="0.35">
      <c r="A13" s="7" t="s">
        <v>42</v>
      </c>
      <c r="B13" s="7" t="s">
        <v>43</v>
      </c>
      <c r="C13" s="7" t="s">
        <v>30</v>
      </c>
      <c r="D13" s="7" t="s">
        <v>14</v>
      </c>
      <c r="E13" s="7" t="s">
        <v>20</v>
      </c>
      <c r="F13" s="8">
        <v>0</v>
      </c>
      <c r="G13" s="9">
        <v>45</v>
      </c>
      <c r="H13" s="8">
        <v>1</v>
      </c>
      <c r="I13" s="6" t="str">
        <f>VLOOKUP(C13,Product_Catalog!$A$4:$D$9,3,FALSE)</f>
        <v>USB Cable</v>
      </c>
      <c r="J13" s="22">
        <f>HLOOKUP(C13,Product_Catalog!$A$13:$F$14,2,FALSE)</f>
        <v>0.02</v>
      </c>
    </row>
    <row r="17" spans="6:7" x14ac:dyDescent="0.35">
      <c r="F17" s="4"/>
      <c r="G17" s="5"/>
    </row>
    <row r="18" spans="6:7" x14ac:dyDescent="0.35">
      <c r="F18" s="8"/>
      <c r="G18" s="9"/>
    </row>
    <row r="19" spans="6:7" x14ac:dyDescent="0.35">
      <c r="F19" s="8"/>
      <c r="G19" s="9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5" x14ac:dyDescent="0.35"/>
  <cols>
    <col min="1" max="1" width="48" customWidth="1"/>
    <col min="2" max="2" width="15" customWidth="1"/>
    <col min="3" max="3" width="19" customWidth="1"/>
    <col min="4" max="4" width="15" customWidth="1"/>
    <col min="5" max="6" width="12" customWidth="1"/>
  </cols>
  <sheetData>
    <row r="1" spans="1:6" ht="21" x14ac:dyDescent="0.5">
      <c r="A1" s="1" t="s">
        <v>44</v>
      </c>
    </row>
    <row r="3" spans="1:6" ht="17" x14ac:dyDescent="0.4">
      <c r="A3" s="11" t="s">
        <v>45</v>
      </c>
    </row>
    <row r="4" spans="1:6" x14ac:dyDescent="0.35">
      <c r="A4" s="2" t="s">
        <v>3</v>
      </c>
      <c r="B4" s="2" t="s">
        <v>46</v>
      </c>
      <c r="C4" s="2" t="s">
        <v>47</v>
      </c>
      <c r="D4" s="2" t="s">
        <v>48</v>
      </c>
    </row>
    <row r="5" spans="1:6" x14ac:dyDescent="0.35">
      <c r="A5" s="7" t="s">
        <v>13</v>
      </c>
      <c r="B5" s="12" t="s">
        <v>49</v>
      </c>
      <c r="C5" s="12" t="s">
        <v>50</v>
      </c>
      <c r="D5" s="12" t="s">
        <v>51</v>
      </c>
    </row>
    <row r="6" spans="1:6" x14ac:dyDescent="0.35">
      <c r="A6" s="3" t="s">
        <v>18</v>
      </c>
      <c r="B6" s="13" t="s">
        <v>49</v>
      </c>
      <c r="C6" s="13" t="s">
        <v>52</v>
      </c>
      <c r="D6" s="13" t="s">
        <v>53</v>
      </c>
    </row>
    <row r="7" spans="1:6" x14ac:dyDescent="0.35">
      <c r="A7" s="7" t="s">
        <v>23</v>
      </c>
      <c r="B7" s="12" t="s">
        <v>54</v>
      </c>
      <c r="C7" s="12" t="s">
        <v>55</v>
      </c>
      <c r="D7" s="12" t="s">
        <v>56</v>
      </c>
    </row>
    <row r="8" spans="1:6" x14ac:dyDescent="0.35">
      <c r="A8" s="3" t="s">
        <v>30</v>
      </c>
      <c r="B8" s="13" t="s">
        <v>54</v>
      </c>
      <c r="C8" s="13" t="s">
        <v>57</v>
      </c>
      <c r="D8" s="13" t="s">
        <v>58</v>
      </c>
    </row>
    <row r="9" spans="1:6" x14ac:dyDescent="0.35">
      <c r="A9" s="7" t="s">
        <v>37</v>
      </c>
      <c r="B9" s="12" t="s">
        <v>59</v>
      </c>
      <c r="C9" s="12" t="s">
        <v>60</v>
      </c>
      <c r="D9" s="12" t="s">
        <v>61</v>
      </c>
    </row>
    <row r="12" spans="1:6" ht="17" x14ac:dyDescent="0.4">
      <c r="A12" s="11" t="s">
        <v>62</v>
      </c>
    </row>
    <row r="13" spans="1:6" x14ac:dyDescent="0.35">
      <c r="A13" s="14" t="s">
        <v>3</v>
      </c>
      <c r="B13" s="15" t="s">
        <v>13</v>
      </c>
      <c r="C13" s="15" t="s">
        <v>18</v>
      </c>
      <c r="D13" s="15" t="s">
        <v>23</v>
      </c>
      <c r="E13" s="15" t="s">
        <v>30</v>
      </c>
      <c r="F13" s="15" t="s">
        <v>37</v>
      </c>
    </row>
    <row r="14" spans="1:6" x14ac:dyDescent="0.35">
      <c r="A14" s="14" t="s">
        <v>63</v>
      </c>
      <c r="B14" s="16">
        <v>0.1</v>
      </c>
      <c r="C14" s="16">
        <v>0.05</v>
      </c>
      <c r="D14" s="16">
        <v>0</v>
      </c>
      <c r="E14" s="16">
        <v>0.02</v>
      </c>
      <c r="F14" s="16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topLeftCell="B1" zoomScale="90" zoomScaleNormal="90" workbookViewId="0">
      <selection activeCell="D24" sqref="D24"/>
    </sheetView>
  </sheetViews>
  <sheetFormatPr defaultRowHeight="14.5" x14ac:dyDescent="0.35"/>
  <cols>
    <col min="1" max="1" width="12" customWidth="1"/>
    <col min="2" max="2" width="26" customWidth="1"/>
    <col min="3" max="3" width="118" customWidth="1"/>
    <col min="4" max="4" width="21" customWidth="1"/>
    <col min="5" max="5" width="30" customWidth="1"/>
  </cols>
  <sheetData>
    <row r="1" spans="1:5" ht="21" x14ac:dyDescent="0.5">
      <c r="A1" s="1" t="s">
        <v>64</v>
      </c>
    </row>
    <row r="3" spans="1:5" x14ac:dyDescent="0.3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 x14ac:dyDescent="0.35">
      <c r="A4" s="17" t="s">
        <v>70</v>
      </c>
      <c r="B4" s="13" t="s">
        <v>71</v>
      </c>
      <c r="C4" s="13" t="s">
        <v>72</v>
      </c>
      <c r="D4" s="18">
        <f>COUNT(Sales_Data!F4:F13)</f>
        <v>9</v>
      </c>
      <c r="E4" s="17">
        <v>9</v>
      </c>
    </row>
    <row r="5" spans="1:5" x14ac:dyDescent="0.35">
      <c r="A5" s="19" t="s">
        <v>73</v>
      </c>
      <c r="B5" s="12" t="s">
        <v>71</v>
      </c>
      <c r="C5" s="12" t="s">
        <v>74</v>
      </c>
      <c r="D5" s="18">
        <f>COUNTA(Sales_Data!A4:A13)</f>
        <v>10</v>
      </c>
      <c r="E5" s="19">
        <v>10</v>
      </c>
    </row>
    <row r="6" spans="1:5" x14ac:dyDescent="0.35">
      <c r="A6" s="17" t="s">
        <v>75</v>
      </c>
      <c r="B6" s="13" t="s">
        <v>71</v>
      </c>
      <c r="C6" s="13" t="s">
        <v>76</v>
      </c>
      <c r="D6" s="18">
        <f>COUNTBLANK(Sales_Data!H4:H13)</f>
        <v>2</v>
      </c>
      <c r="E6" s="17">
        <v>2</v>
      </c>
    </row>
    <row r="7" spans="1:5" x14ac:dyDescent="0.35">
      <c r="A7" s="19" t="s">
        <v>77</v>
      </c>
      <c r="B7" s="12" t="s">
        <v>78</v>
      </c>
      <c r="C7" s="12" t="s">
        <v>79</v>
      </c>
      <c r="D7" s="18">
        <f>COUNTIF(Sales_Data!E4:E13,"Sarah")</f>
        <v>3</v>
      </c>
      <c r="E7" s="19">
        <v>3</v>
      </c>
    </row>
    <row r="8" spans="1:5" x14ac:dyDescent="0.35">
      <c r="A8" s="17" t="s">
        <v>80</v>
      </c>
      <c r="B8" s="13" t="s">
        <v>78</v>
      </c>
      <c r="C8" s="13" t="s">
        <v>81</v>
      </c>
      <c r="D8" s="18">
        <f>COUNTIFS(Sales_Data!F4:F13,"&gt;=5",Sales_Data!D4:D13,"North")</f>
        <v>1</v>
      </c>
      <c r="E8" s="17">
        <v>1</v>
      </c>
    </row>
    <row r="9" spans="1:5" x14ac:dyDescent="0.35">
      <c r="A9" s="19" t="s">
        <v>82</v>
      </c>
      <c r="B9" s="12" t="s">
        <v>83</v>
      </c>
      <c r="C9" s="12" t="s">
        <v>84</v>
      </c>
      <c r="D9" s="23">
        <f>AVERAGE(Sales_Data!F4:F13)</f>
        <v>8.4444444444444446</v>
      </c>
      <c r="E9" s="19">
        <v>8.2200000000000006</v>
      </c>
    </row>
    <row r="10" spans="1:5" x14ac:dyDescent="0.35">
      <c r="A10" s="17" t="s">
        <v>85</v>
      </c>
      <c r="B10" s="13" t="s">
        <v>83</v>
      </c>
      <c r="C10" s="13" t="s">
        <v>86</v>
      </c>
      <c r="D10" s="18">
        <f>SUMIFS(Sales_Data!F4:F13,Sales_Data!C4:C13,"P-01")</f>
        <v>24</v>
      </c>
      <c r="E10" s="17">
        <v>24</v>
      </c>
    </row>
    <row r="11" spans="1:5" x14ac:dyDescent="0.35">
      <c r="A11" s="19" t="s">
        <v>87</v>
      </c>
      <c r="B11" s="12" t="s">
        <v>83</v>
      </c>
      <c r="C11" s="12" t="s">
        <v>88</v>
      </c>
      <c r="D11" s="18">
        <f>SUMIFS(Sales_Data!F4:F13,Sales_Data!E4:E13,"Amit",Sales_Data!D4:D13,"West")</f>
        <v>28</v>
      </c>
      <c r="E11" s="19">
        <v>28</v>
      </c>
    </row>
    <row r="12" spans="1:5" x14ac:dyDescent="0.35">
      <c r="A12" s="17" t="s">
        <v>89</v>
      </c>
      <c r="B12" s="13" t="s">
        <v>90</v>
      </c>
      <c r="C12" s="13" t="s">
        <v>91</v>
      </c>
      <c r="D12" s="24">
        <f>AVERAGEIF(Sales_Data!D4:D13,"North",Sales_Data!H4:H13)</f>
        <v>2.75</v>
      </c>
      <c r="E12" s="17">
        <v>3</v>
      </c>
    </row>
    <row r="13" spans="1:5" x14ac:dyDescent="0.35">
      <c r="A13" s="19" t="s">
        <v>92</v>
      </c>
      <c r="B13" s="12" t="s">
        <v>90</v>
      </c>
      <c r="C13" s="12" t="s">
        <v>93</v>
      </c>
      <c r="D13" s="18">
        <f>AVERAGEIFS(Sales_Data!F4:F13,Sales_Data!E4:E13,"Sarah",Sales_Data!H4:H13,"&gt;=4")</f>
        <v>12</v>
      </c>
      <c r="E13" s="19">
        <v>8</v>
      </c>
    </row>
    <row r="14" spans="1:5" x14ac:dyDescent="0.35">
      <c r="A14" s="17" t="s">
        <v>94</v>
      </c>
      <c r="B14" s="13" t="s">
        <v>95</v>
      </c>
      <c r="C14" s="13" t="s">
        <v>96</v>
      </c>
      <c r="D14" s="6" t="str">
        <f>VLOOKUP(Sales_Data!C4,Product_Catalog!$A$4:$D$9,3,FALSE)</f>
        <v>Laptop Pro</v>
      </c>
      <c r="E14" s="17" t="s">
        <v>97</v>
      </c>
    </row>
    <row r="15" spans="1:5" x14ac:dyDescent="0.35">
      <c r="A15" s="19" t="s">
        <v>98</v>
      </c>
      <c r="B15" s="12" t="s">
        <v>99</v>
      </c>
      <c r="C15" s="12" t="s">
        <v>100</v>
      </c>
      <c r="D15" s="22">
        <f>HLOOKUP(Sales_Data!C4,Product_Catalog!$A$13:$F$14,2,FALSE)</f>
        <v>0.1</v>
      </c>
      <c r="E15" s="19" t="s">
        <v>101</v>
      </c>
    </row>
    <row r="16" spans="1:5" x14ac:dyDescent="0.35">
      <c r="A16" s="17" t="s">
        <v>102</v>
      </c>
      <c r="B16" s="13" t="s">
        <v>103</v>
      </c>
      <c r="C16" s="13" t="s">
        <v>104</v>
      </c>
      <c r="D16" s="18" t="str">
        <f>INDEX(Product_Catalog!D5:D9,MATCH("P-03",Product_Catalog!A5:A9,0))</f>
        <v>LogiGear</v>
      </c>
      <c r="E16" s="17" t="s">
        <v>56</v>
      </c>
    </row>
    <row r="17" spans="1:5" x14ac:dyDescent="0.35">
      <c r="A17" s="19" t="s">
        <v>105</v>
      </c>
      <c r="B17" s="12" t="s">
        <v>106</v>
      </c>
      <c r="C17" s="12" t="s">
        <v>107</v>
      </c>
      <c r="D17" s="18" t="str">
        <f>INDEX(Product_Catalog!A5:A9,MATCH("Ergonomic Chair",Product_Catalog!C5:C9,0))</f>
        <v>P-05</v>
      </c>
      <c r="E17" s="19" t="s">
        <v>37</v>
      </c>
    </row>
    <row r="18" spans="1:5" x14ac:dyDescent="0.35">
      <c r="A18" s="17" t="s">
        <v>108</v>
      </c>
      <c r="B18" s="13" t="s">
        <v>109</v>
      </c>
      <c r="C18" s="13" t="s">
        <v>110</v>
      </c>
      <c r="D18" s="18">
        <f>SUMPRODUCT((Sales_Data!D4:D13="North")*Sales_Data!F4:F13*Sales_Data!G4:G13)</f>
        <v>16000</v>
      </c>
      <c r="E18" s="17" t="s">
        <v>111</v>
      </c>
    </row>
    <row r="19" spans="1:5" x14ac:dyDescent="0.35">
      <c r="A19" s="19" t="s">
        <v>112</v>
      </c>
      <c r="B19" s="12" t="s">
        <v>109</v>
      </c>
      <c r="C19" s="12" t="s">
        <v>113</v>
      </c>
      <c r="D19" s="24">
        <f>AVERAGEIFS(Sales_Data!H4:H13,Sales_Data!H4:H13,"&gt;1")</f>
        <v>4</v>
      </c>
      <c r="E19" s="19" t="s">
        <v>114</v>
      </c>
    </row>
    <row r="20" spans="1:5" x14ac:dyDescent="0.35">
      <c r="A20" s="17" t="s">
        <v>115</v>
      </c>
      <c r="B20" s="13" t="s">
        <v>116</v>
      </c>
      <c r="C20" s="13" t="s">
        <v>117</v>
      </c>
      <c r="D20" s="18" t="str">
        <f>INDEX(Sales_Data!E4:E13,MATCH(MAX(Sales_Data!F4:F13),Sales_Data!F4:F13,0))</f>
        <v>Amit</v>
      </c>
      <c r="E20" s="17" t="s">
        <v>27</v>
      </c>
    </row>
    <row r="21" spans="1:5" x14ac:dyDescent="0.35">
      <c r="A21" s="19" t="s">
        <v>118</v>
      </c>
      <c r="B21" s="12" t="s">
        <v>116</v>
      </c>
      <c r="C21" s="12" t="s">
        <v>119</v>
      </c>
      <c r="D21" s="18" t="str">
        <f>INDEX(Sales_Data!B4:B13,MATCH("TXN-108",Sales_Data!A4:A13,0))</f>
        <v>2026-01-22</v>
      </c>
      <c r="E21" s="19" t="s">
        <v>39</v>
      </c>
    </row>
    <row r="22" spans="1:5" x14ac:dyDescent="0.35">
      <c r="A22" s="17" t="s">
        <v>120</v>
      </c>
      <c r="B22" s="13" t="s">
        <v>121</v>
      </c>
      <c r="C22" s="13" t="s">
        <v>122</v>
      </c>
      <c r="D22" s="18" t="str">
        <f>IF(ISBLANK(INDEX(Sales_Data!F4:F13,MATCH("TXN-103",Sales_Data!A4:A13,0))),"Incomplete","Complete")</f>
        <v>Incomplete</v>
      </c>
      <c r="E22" s="17" t="s">
        <v>123</v>
      </c>
    </row>
    <row r="23" spans="1:5" x14ac:dyDescent="0.35">
      <c r="A23" s="19" t="s">
        <v>124</v>
      </c>
      <c r="B23" s="12" t="s">
        <v>121</v>
      </c>
      <c r="C23" s="12" t="s">
        <v>125</v>
      </c>
      <c r="D23" s="18" t="str">
        <f>IFERROR(VLOOKUP("P-99",Sales_Data!A3:H13,3,FALSE),"Not Found")</f>
        <v>Not Found</v>
      </c>
      <c r="E23" s="19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Product_Catalog</vt:lpstr>
      <vt:lpstr>Assignment_Tasks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tenzin choezin</cp:lastModifiedBy>
  <dcterms:created xsi:type="dcterms:W3CDTF">2026-09-10T14:31:57Z</dcterms:created>
  <dcterms:modified xsi:type="dcterms:W3CDTF">2026-09-10T16:14:39Z</dcterms:modified>
</cp:coreProperties>
</file>