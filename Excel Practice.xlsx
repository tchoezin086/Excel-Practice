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nzin choezin\Downloads\"/>
    </mc:Choice>
  </mc:AlternateContent>
  <xr:revisionPtr revIDLastSave="0" documentId="13_ncr:1_{7930CD56-79FC-4F09-AFDC-1365EAD95C21}" xr6:coauthVersionLast="47" xr6:coauthVersionMax="47" xr10:uidLastSave="{00000000-0000-0000-0000-000000000000}"/>
  <bookViews>
    <workbookView xWindow="-110" yWindow="-110" windowWidth="19420" windowHeight="10300" activeTab="3" xr2:uid="{5A562A27-9AB1-4761-BC51-0D4A2C91B8C1}"/>
  </bookViews>
  <sheets>
    <sheet name="Sheet1" sheetId="2" r:id="rId1"/>
    <sheet name="Sheet2" sheetId="3" r:id="rId2"/>
    <sheet name="Sheet3" sheetId="4" r:id="rId3"/>
    <sheet name="Sheet4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O8" i="1"/>
  <c r="O7" i="1"/>
  <c r="N8" i="1"/>
  <c r="N7" i="1"/>
  <c r="B48" i="2"/>
  <c r="B32" i="2"/>
  <c r="F25" i="2"/>
  <c r="C22" i="2"/>
  <c r="A19" i="2"/>
  <c r="A9" i="2"/>
  <c r="A10" i="2"/>
  <c r="K51" i="3"/>
  <c r="J51" i="3"/>
  <c r="I51" i="3"/>
  <c r="G39" i="3"/>
  <c r="F39" i="3"/>
  <c r="E39" i="3"/>
  <c r="I12" i="3"/>
  <c r="J12" i="3" s="1"/>
  <c r="I15" i="3"/>
  <c r="J15" i="3" s="1"/>
  <c r="I16" i="3"/>
  <c r="J16" i="3" s="1"/>
  <c r="I19" i="3"/>
  <c r="J19" i="3" s="1"/>
  <c r="I20" i="3"/>
  <c r="J20" i="3" s="1"/>
  <c r="H12" i="3"/>
  <c r="H13" i="3"/>
  <c r="H14" i="3"/>
  <c r="H15" i="3"/>
  <c r="H16" i="3"/>
  <c r="H17" i="3"/>
  <c r="H18" i="3"/>
  <c r="H19" i="3"/>
  <c r="H20" i="3"/>
  <c r="G12" i="3"/>
  <c r="G13" i="3"/>
  <c r="G14" i="3"/>
  <c r="I14" i="3" s="1"/>
  <c r="J14" i="3" s="1"/>
  <c r="G15" i="3"/>
  <c r="G16" i="3"/>
  <c r="G17" i="3"/>
  <c r="G18" i="3"/>
  <c r="I18" i="3" s="1"/>
  <c r="J18" i="3" s="1"/>
  <c r="G19" i="3"/>
  <c r="G20" i="3"/>
  <c r="F12" i="3"/>
  <c r="F13" i="3"/>
  <c r="I13" i="3" s="1"/>
  <c r="J13" i="3" s="1"/>
  <c r="F14" i="3"/>
  <c r="F15" i="3"/>
  <c r="F16" i="3"/>
  <c r="F17" i="3"/>
  <c r="I17" i="3" s="1"/>
  <c r="J17" i="3" s="1"/>
  <c r="F18" i="3"/>
  <c r="F19" i="3"/>
  <c r="F20" i="3"/>
  <c r="H11" i="3"/>
  <c r="G11" i="3"/>
  <c r="F11" i="3"/>
  <c r="E11" i="3"/>
  <c r="I11" i="3" s="1"/>
  <c r="J11" i="3" s="1"/>
  <c r="G20" i="4"/>
  <c r="F16" i="4"/>
  <c r="G16" i="4" s="1"/>
  <c r="G11" i="4"/>
  <c r="F11" i="4"/>
  <c r="H11" i="4" s="1"/>
  <c r="F10" i="4"/>
  <c r="K7" i="1"/>
  <c r="K8" i="1"/>
  <c r="J7" i="1"/>
  <c r="L7" i="1" s="1"/>
  <c r="J8" i="1"/>
  <c r="L8" i="1" s="1"/>
  <c r="I7" i="1"/>
  <c r="I8" i="1"/>
  <c r="H7" i="1"/>
  <c r="H8" i="1"/>
  <c r="O6" i="1"/>
  <c r="N6" i="1"/>
  <c r="M6" i="1"/>
  <c r="L6" i="1"/>
  <c r="K6" i="1"/>
  <c r="J6" i="1"/>
  <c r="I6" i="1"/>
  <c r="H6" i="1"/>
  <c r="M8" i="1" l="1"/>
  <c r="M7" i="1"/>
  <c r="G10" i="4"/>
  <c r="H10" i="4" s="1"/>
</calcChain>
</file>

<file path=xl/sharedStrings.xml><?xml version="1.0" encoding="utf-8"?>
<sst xmlns="http://schemas.openxmlformats.org/spreadsheetml/2006/main" count="127" uniqueCount="91">
  <si>
    <t xml:space="preserve">Student Report card </t>
  </si>
  <si>
    <t xml:space="preserve">Roll no </t>
  </si>
  <si>
    <t xml:space="preserve">Name </t>
  </si>
  <si>
    <t xml:space="preserve">Excel </t>
  </si>
  <si>
    <t>Python</t>
  </si>
  <si>
    <t>SQL</t>
  </si>
  <si>
    <t>ML</t>
  </si>
  <si>
    <t>GENAI</t>
  </si>
  <si>
    <t>Total Marks</t>
  </si>
  <si>
    <t xml:space="preserve">Max </t>
  </si>
  <si>
    <t>Avg</t>
  </si>
  <si>
    <t>Min</t>
  </si>
  <si>
    <t xml:space="preserve">Result </t>
  </si>
  <si>
    <t>Grade</t>
  </si>
  <si>
    <t>Result 2</t>
  </si>
  <si>
    <t>Result 3</t>
  </si>
  <si>
    <t>BILL CALCULATION</t>
  </si>
  <si>
    <t xml:space="preserve">ITEM CODE </t>
  </si>
  <si>
    <t>PRICE</t>
  </si>
  <si>
    <t>QTY</t>
  </si>
  <si>
    <t xml:space="preserve">TOTAL AMOUNT </t>
  </si>
  <si>
    <t>DISCOUNT</t>
  </si>
  <si>
    <t>TOTAL PAID</t>
  </si>
  <si>
    <t>pune</t>
  </si>
  <si>
    <t>CITY</t>
  </si>
  <si>
    <t>DELHI</t>
  </si>
  <si>
    <t>if totalamount upto 500 5%&gt;500 10%</t>
  </si>
  <si>
    <t>USER</t>
  </si>
  <si>
    <t xml:space="preserve">STUDENT </t>
  </si>
  <si>
    <t>TEACHER</t>
  </si>
  <si>
    <t>STAFF</t>
  </si>
  <si>
    <t>STUDENT</t>
  </si>
  <si>
    <t>BASIC</t>
  </si>
  <si>
    <t>EMP ID</t>
  </si>
  <si>
    <t>NET SALARY</t>
  </si>
  <si>
    <t>NAME</t>
  </si>
  <si>
    <t>AJAY</t>
  </si>
  <si>
    <t>HRA(10%)</t>
  </si>
  <si>
    <t>CCA (12%)</t>
  </si>
  <si>
    <t>DA(15%)</t>
  </si>
  <si>
    <t>PF(20%)</t>
  </si>
  <si>
    <t>GS(BASIC+HRA+DA+</t>
  </si>
  <si>
    <t>IF BASIC &lt;=5000 5% OTHER 10%</t>
  </si>
  <si>
    <t>CITY TYPE</t>
  </si>
  <si>
    <t>METRO</t>
  </si>
  <si>
    <t>NON METRO</t>
  </si>
  <si>
    <t>METRO 5% NON METRO 10%</t>
  </si>
  <si>
    <t>BASIC &lt;=5000 500 OTHER 12%</t>
  </si>
  <si>
    <t>SALARY PAYSLIP 2</t>
  </si>
  <si>
    <t>HRA (10%</t>
  </si>
  <si>
    <t>NO OF LEAVE</t>
  </si>
  <si>
    <t>LEAVE AMOUNT</t>
  </si>
  <si>
    <t>FRUITS</t>
  </si>
  <si>
    <t>APPLE</t>
  </si>
  <si>
    <t>KIWI</t>
  </si>
  <si>
    <t>ORANGE</t>
  </si>
  <si>
    <t>COUNTA</t>
  </si>
  <si>
    <t>CAN COUNT EVERYTHING</t>
  </si>
  <si>
    <t>COUNT</t>
  </si>
  <si>
    <t>CAN COUNT ONLY NUMBERS</t>
  </si>
  <si>
    <t>cost of items</t>
  </si>
  <si>
    <t>COUNTIF</t>
  </si>
  <si>
    <t>MARKS</t>
  </si>
  <si>
    <t>count how many students are pass (40)</t>
  </si>
  <si>
    <t>Attendance</t>
  </si>
  <si>
    <t>P</t>
  </si>
  <si>
    <t>A</t>
  </si>
  <si>
    <t>NO OF STUDENT PRESENT</t>
  </si>
  <si>
    <t>NO OF STUDENT ABSENT</t>
  </si>
  <si>
    <t>FEMALE</t>
  </si>
  <si>
    <t>GENDER</t>
  </si>
  <si>
    <t>AGE</t>
  </si>
  <si>
    <t>MALE</t>
  </si>
  <si>
    <t>COUNTIFS: if there is multiple conditions</t>
  </si>
  <si>
    <t>admin dept</t>
  </si>
  <si>
    <t>exp more than 4 yrs</t>
  </si>
  <si>
    <t>Dept</t>
  </si>
  <si>
    <t>admin</t>
  </si>
  <si>
    <t>sales</t>
  </si>
  <si>
    <t>marketing</t>
  </si>
  <si>
    <t>finance</t>
  </si>
  <si>
    <t>IT</t>
  </si>
  <si>
    <t>Audit</t>
  </si>
  <si>
    <t>exp</t>
  </si>
  <si>
    <t>admin dept with exp more than 4</t>
  </si>
  <si>
    <t>Example</t>
  </si>
  <si>
    <t>ram</t>
  </si>
  <si>
    <t>daniel</t>
  </si>
  <si>
    <t>ellis</t>
  </si>
  <si>
    <t>SALARY PAYSLIP 1</t>
  </si>
  <si>
    <t>SALARY PAYSLIP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</si>
</sst>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0" fillId="0" borderId="0" xfId="0" applyAlignment="1">
      <alignment horizontal="left"/>
    </xf>
    <xf numFmtId="0" fontId="0" fillId="3" borderId="0" xfId="0" applyFill="1"/>
    <xf numFmtId="0" fontId="1" fillId="0" borderId="0" xfId="0" applyFont="1" applyAlignment="1">
      <alignment horizontal="right"/>
    </xf>
    <xf numFmtId="0" fontId="1" fillId="0" borderId="0" xfId="0" applyFo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58D6-0212-4DB0-BBD8-D220D98D0F17}">
  <dimension ref="A2:F48"/>
  <sheetViews>
    <sheetView topLeftCell="A27" workbookViewId="0">
      <selection activeCell="B48" sqref="B48"/>
    </sheetView>
  </sheetViews>
  <sheetFormatPr defaultRowHeight="14.5" x14ac:dyDescent="0.35"/>
  <cols>
    <col min="3" max="3" width="24.81640625" bestFit="1" customWidth="1"/>
    <col min="5" max="5" width="22.36328125" bestFit="1" customWidth="1"/>
  </cols>
  <sheetData>
    <row r="2" spans="1:5" x14ac:dyDescent="0.35">
      <c r="A2" s="2" t="s">
        <v>52</v>
      </c>
    </row>
    <row r="3" spans="1:5" x14ac:dyDescent="0.35">
      <c r="A3" s="2" t="s">
        <v>53</v>
      </c>
    </row>
    <row r="4" spans="1:5" x14ac:dyDescent="0.35">
      <c r="A4" s="2">
        <v>200</v>
      </c>
    </row>
    <row r="5" spans="1:5" x14ac:dyDescent="0.35">
      <c r="A5" s="2" t="s">
        <v>54</v>
      </c>
    </row>
    <row r="6" spans="1:5" x14ac:dyDescent="0.35">
      <c r="A6" s="2">
        <v>400</v>
      </c>
    </row>
    <row r="7" spans="1:5" x14ac:dyDescent="0.35">
      <c r="A7" s="2" t="s">
        <v>55</v>
      </c>
    </row>
    <row r="8" spans="1:5" x14ac:dyDescent="0.35">
      <c r="A8" s="2">
        <v>200</v>
      </c>
    </row>
    <row r="9" spans="1:5" x14ac:dyDescent="0.35">
      <c r="A9" s="4">
        <f>COUNT(A2:A8)</f>
        <v>3</v>
      </c>
      <c r="B9" s="3" t="s">
        <v>58</v>
      </c>
      <c r="C9" s="3" t="s">
        <v>59</v>
      </c>
    </row>
    <row r="10" spans="1:5" x14ac:dyDescent="0.35">
      <c r="A10" s="4">
        <f>COUNTA(A2:A8)</f>
        <v>7</v>
      </c>
      <c r="B10" s="3" t="s">
        <v>56</v>
      </c>
      <c r="C10" s="3" t="s">
        <v>57</v>
      </c>
    </row>
    <row r="12" spans="1:5" x14ac:dyDescent="0.35">
      <c r="A12" s="5" t="s">
        <v>60</v>
      </c>
      <c r="C12" t="s">
        <v>62</v>
      </c>
      <c r="E12" t="s">
        <v>64</v>
      </c>
    </row>
    <row r="13" spans="1:5" x14ac:dyDescent="0.35">
      <c r="A13">
        <v>2000</v>
      </c>
      <c r="C13">
        <v>30</v>
      </c>
      <c r="E13" t="s">
        <v>65</v>
      </c>
    </row>
    <row r="14" spans="1:5" x14ac:dyDescent="0.35">
      <c r="A14">
        <v>4000</v>
      </c>
      <c r="C14">
        <v>50</v>
      </c>
      <c r="E14" t="s">
        <v>65</v>
      </c>
    </row>
    <row r="15" spans="1:5" x14ac:dyDescent="0.35">
      <c r="A15">
        <v>60000</v>
      </c>
      <c r="C15">
        <v>70</v>
      </c>
      <c r="E15" t="s">
        <v>66</v>
      </c>
    </row>
    <row r="16" spans="1:5" x14ac:dyDescent="0.35">
      <c r="A16">
        <v>10000</v>
      </c>
      <c r="C16">
        <v>20</v>
      </c>
      <c r="E16" t="s">
        <v>65</v>
      </c>
    </row>
    <row r="17" spans="1:6" x14ac:dyDescent="0.35">
      <c r="A17">
        <v>7000</v>
      </c>
      <c r="C17">
        <v>40</v>
      </c>
      <c r="E17" t="s">
        <v>66</v>
      </c>
    </row>
    <row r="18" spans="1:6" x14ac:dyDescent="0.35">
      <c r="A18">
        <v>9000</v>
      </c>
      <c r="C18">
        <v>10</v>
      </c>
      <c r="E18" t="s">
        <v>66</v>
      </c>
    </row>
    <row r="19" spans="1:6" x14ac:dyDescent="0.35">
      <c r="A19">
        <f>COUNTIF(A13:A18,"&gt;4000")</f>
        <v>4</v>
      </c>
      <c r="B19" t="s">
        <v>61</v>
      </c>
      <c r="C19">
        <v>70</v>
      </c>
      <c r="E19" t="s">
        <v>66</v>
      </c>
    </row>
    <row r="20" spans="1:6" x14ac:dyDescent="0.35">
      <c r="C20" t="s">
        <v>63</v>
      </c>
      <c r="E20" t="s">
        <v>66</v>
      </c>
    </row>
    <row r="21" spans="1:6" x14ac:dyDescent="0.35">
      <c r="E21" t="s">
        <v>66</v>
      </c>
    </row>
    <row r="22" spans="1:6" x14ac:dyDescent="0.35">
      <c r="C22" s="5">
        <f>COUNTIF(C13:C19,"&gt;40")</f>
        <v>3</v>
      </c>
      <c r="E22" t="s">
        <v>65</v>
      </c>
    </row>
    <row r="23" spans="1:6" x14ac:dyDescent="0.35">
      <c r="E23" t="s">
        <v>65</v>
      </c>
    </row>
    <row r="24" spans="1:6" x14ac:dyDescent="0.35">
      <c r="E24" t="s">
        <v>67</v>
      </c>
      <c r="F24" s="5">
        <f>COUNTIF(E13:E23,"P")</f>
        <v>5</v>
      </c>
    </row>
    <row r="25" spans="1:6" x14ac:dyDescent="0.35">
      <c r="A25" t="s">
        <v>71</v>
      </c>
      <c r="B25" t="s">
        <v>70</v>
      </c>
      <c r="E25" t="s">
        <v>68</v>
      </c>
      <c r="F25" s="5">
        <f>COUNTIF(E13:E23,"A")</f>
        <v>6</v>
      </c>
    </row>
    <row r="26" spans="1:6" x14ac:dyDescent="0.35">
      <c r="A26">
        <v>20</v>
      </c>
      <c r="B26" t="s">
        <v>69</v>
      </c>
    </row>
    <row r="27" spans="1:6" x14ac:dyDescent="0.35">
      <c r="A27">
        <v>12</v>
      </c>
      <c r="B27" t="s">
        <v>72</v>
      </c>
    </row>
    <row r="28" spans="1:6" x14ac:dyDescent="0.35">
      <c r="A28">
        <v>32</v>
      </c>
      <c r="B28" t="s">
        <v>69</v>
      </c>
    </row>
    <row r="29" spans="1:6" x14ac:dyDescent="0.35">
      <c r="A29">
        <v>18</v>
      </c>
      <c r="B29" t="s">
        <v>72</v>
      </c>
    </row>
    <row r="30" spans="1:6" x14ac:dyDescent="0.35">
      <c r="A30">
        <v>12</v>
      </c>
      <c r="B30" t="s">
        <v>72</v>
      </c>
    </row>
    <row r="32" spans="1:6" x14ac:dyDescent="0.35">
      <c r="B32" s="5">
        <f>COUNTIFS(B26:B30,"FEMALE",A26:A30,"&gt;=18")</f>
        <v>2</v>
      </c>
      <c r="C32" t="s">
        <v>73</v>
      </c>
    </row>
    <row r="35" spans="1:3" x14ac:dyDescent="0.35">
      <c r="B35" s="5" t="s">
        <v>85</v>
      </c>
      <c r="C35" t="s">
        <v>74</v>
      </c>
    </row>
    <row r="36" spans="1:3" x14ac:dyDescent="0.35">
      <c r="C36" t="s">
        <v>75</v>
      </c>
    </row>
    <row r="38" spans="1:3" x14ac:dyDescent="0.35">
      <c r="A38" t="s">
        <v>76</v>
      </c>
      <c r="B38" t="s">
        <v>83</v>
      </c>
    </row>
    <row r="39" spans="1:3" x14ac:dyDescent="0.35">
      <c r="A39" t="s">
        <v>77</v>
      </c>
      <c r="B39">
        <v>4</v>
      </c>
    </row>
    <row r="40" spans="1:3" x14ac:dyDescent="0.35">
      <c r="A40" t="s">
        <v>78</v>
      </c>
      <c r="B40">
        <v>2</v>
      </c>
    </row>
    <row r="41" spans="1:3" x14ac:dyDescent="0.35">
      <c r="A41" t="s">
        <v>79</v>
      </c>
      <c r="B41">
        <v>5</v>
      </c>
    </row>
    <row r="42" spans="1:3" x14ac:dyDescent="0.35">
      <c r="A42" t="s">
        <v>80</v>
      </c>
      <c r="B42">
        <v>3</v>
      </c>
    </row>
    <row r="43" spans="1:3" x14ac:dyDescent="0.35">
      <c r="A43" t="s">
        <v>77</v>
      </c>
      <c r="B43">
        <v>2</v>
      </c>
    </row>
    <row r="44" spans="1:3" x14ac:dyDescent="0.35">
      <c r="A44" t="s">
        <v>81</v>
      </c>
      <c r="B44">
        <v>6</v>
      </c>
    </row>
    <row r="45" spans="1:3" x14ac:dyDescent="0.35">
      <c r="A45" t="s">
        <v>77</v>
      </c>
      <c r="B45">
        <v>5</v>
      </c>
    </row>
    <row r="46" spans="1:3" x14ac:dyDescent="0.35">
      <c r="A46" t="s">
        <v>82</v>
      </c>
      <c r="B46">
        <v>3</v>
      </c>
    </row>
    <row r="47" spans="1:3" x14ac:dyDescent="0.35">
      <c r="A47" t="s">
        <v>77</v>
      </c>
      <c r="B47">
        <v>6</v>
      </c>
    </row>
    <row r="48" spans="1:3" x14ac:dyDescent="0.35">
      <c r="B48" s="5">
        <f>COUNTIFS(A39:A47,"admin",B39:B47,"&gt;=4")</f>
        <v>3</v>
      </c>
      <c r="C48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58CF-D049-4F28-AB7D-12CCBAEE4137}">
  <dimension ref="A1:T51"/>
  <sheetViews>
    <sheetView topLeftCell="A45" workbookViewId="0">
      <selection activeCell="F11" sqref="F11"/>
    </sheetView>
  </sheetViews>
  <sheetFormatPr defaultRowHeight="14.5" x14ac:dyDescent="0.35"/>
  <cols>
    <col min="4" max="4" width="19.36328125" customWidth="1"/>
    <col min="5" max="5" width="27.90625" customWidth="1"/>
    <col min="6" max="6" width="16.90625" customWidth="1"/>
  </cols>
  <sheetData>
    <row r="1" spans="1:20" x14ac:dyDescent="0.35">
      <c r="A1" s="6" t="s">
        <v>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10" spans="1:20" x14ac:dyDescent="0.35">
      <c r="A10" t="s">
        <v>33</v>
      </c>
      <c r="B10" t="s">
        <v>35</v>
      </c>
      <c r="C10" t="s">
        <v>32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34</v>
      </c>
    </row>
    <row r="11" spans="1:20" x14ac:dyDescent="0.35">
      <c r="A11">
        <v>101</v>
      </c>
      <c r="B11" t="s">
        <v>36</v>
      </c>
      <c r="C11">
        <v>2000</v>
      </c>
      <c r="E11">
        <f>C11*10/100</f>
        <v>200</v>
      </c>
      <c r="F11">
        <f>C11*12%</f>
        <v>240</v>
      </c>
      <c r="G11">
        <f>C11*15%</f>
        <v>300</v>
      </c>
      <c r="H11">
        <f>C11*20%</f>
        <v>400</v>
      </c>
      <c r="I11">
        <f>SUM(C11:G11)</f>
        <v>2740</v>
      </c>
      <c r="J11">
        <f>I11-H11</f>
        <v>2340</v>
      </c>
    </row>
    <row r="12" spans="1:20" x14ac:dyDescent="0.35">
      <c r="F12">
        <f t="shared" ref="F12:F20" si="0">C12*12%</f>
        <v>0</v>
      </c>
      <c r="G12">
        <f t="shared" ref="G12:G20" si="1">C12*15%</f>
        <v>0</v>
      </c>
      <c r="H12">
        <f t="shared" ref="H12:H20" si="2">C12*20%</f>
        <v>0</v>
      </c>
      <c r="I12">
        <f t="shared" ref="I12:I20" si="3">SUM(C12:G12)</f>
        <v>0</v>
      </c>
      <c r="J12">
        <f t="shared" ref="J12:J20" si="4">I12-H12</f>
        <v>0</v>
      </c>
    </row>
    <row r="13" spans="1:20" x14ac:dyDescent="0.35">
      <c r="F13">
        <f t="shared" si="0"/>
        <v>0</v>
      </c>
      <c r="G13">
        <f t="shared" si="1"/>
        <v>0</v>
      </c>
      <c r="H13">
        <f t="shared" si="2"/>
        <v>0</v>
      </c>
      <c r="I13">
        <f t="shared" si="3"/>
        <v>0</v>
      </c>
      <c r="J13">
        <f t="shared" si="4"/>
        <v>0</v>
      </c>
    </row>
    <row r="14" spans="1:20" x14ac:dyDescent="0.35">
      <c r="F14">
        <f t="shared" si="0"/>
        <v>0</v>
      </c>
      <c r="G14">
        <f t="shared" si="1"/>
        <v>0</v>
      </c>
      <c r="H14">
        <f t="shared" si="2"/>
        <v>0</v>
      </c>
      <c r="I14">
        <f t="shared" si="3"/>
        <v>0</v>
      </c>
      <c r="J14">
        <f t="shared" si="4"/>
        <v>0</v>
      </c>
    </row>
    <row r="15" spans="1:20" x14ac:dyDescent="0.35"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0</v>
      </c>
      <c r="J15">
        <f t="shared" si="4"/>
        <v>0</v>
      </c>
    </row>
    <row r="16" spans="1:20" x14ac:dyDescent="0.35">
      <c r="F16">
        <f t="shared" si="0"/>
        <v>0</v>
      </c>
      <c r="G16">
        <f t="shared" si="1"/>
        <v>0</v>
      </c>
      <c r="H16">
        <f t="shared" si="2"/>
        <v>0</v>
      </c>
      <c r="I16">
        <f t="shared" si="3"/>
        <v>0</v>
      </c>
      <c r="J16">
        <f t="shared" si="4"/>
        <v>0</v>
      </c>
    </row>
    <row r="17" spans="1:11" x14ac:dyDescent="0.35">
      <c r="F17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  <c r="J17">
        <f t="shared" si="4"/>
        <v>0</v>
      </c>
    </row>
    <row r="18" spans="1:11" x14ac:dyDescent="0.35"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>
        <f t="shared" si="4"/>
        <v>0</v>
      </c>
    </row>
    <row r="19" spans="1:11" x14ac:dyDescent="0.35">
      <c r="F19">
        <f t="shared" si="0"/>
        <v>0</v>
      </c>
      <c r="G19">
        <f t="shared" si="1"/>
        <v>0</v>
      </c>
      <c r="H19">
        <f t="shared" si="2"/>
        <v>0</v>
      </c>
      <c r="I19">
        <f t="shared" si="3"/>
        <v>0</v>
      </c>
      <c r="J19">
        <f t="shared" si="4"/>
        <v>0</v>
      </c>
    </row>
    <row r="20" spans="1:11" x14ac:dyDescent="0.35"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0</v>
      </c>
      <c r="J20">
        <f t="shared" si="4"/>
        <v>0</v>
      </c>
    </row>
    <row r="27" spans="1:11" x14ac:dyDescent="0.35">
      <c r="A27" s="6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35">
      <c r="A35" t="s">
        <v>33</v>
      </c>
      <c r="B35" t="s">
        <v>35</v>
      </c>
      <c r="C35" t="s">
        <v>32</v>
      </c>
      <c r="D35" t="s">
        <v>43</v>
      </c>
      <c r="E35" t="s">
        <v>37</v>
      </c>
      <c r="F35" t="s">
        <v>38</v>
      </c>
      <c r="G35" t="s">
        <v>39</v>
      </c>
      <c r="H35" t="s">
        <v>40</v>
      </c>
      <c r="I35" t="s">
        <v>41</v>
      </c>
      <c r="J35" t="s">
        <v>34</v>
      </c>
    </row>
    <row r="36" spans="1:11" x14ac:dyDescent="0.35">
      <c r="D36" t="s">
        <v>44</v>
      </c>
      <c r="E36" t="s">
        <v>42</v>
      </c>
      <c r="F36" t="s">
        <v>46</v>
      </c>
      <c r="G36" t="s">
        <v>47</v>
      </c>
    </row>
    <row r="37" spans="1:11" x14ac:dyDescent="0.35">
      <c r="D37" t="s">
        <v>45</v>
      </c>
    </row>
    <row r="39" spans="1:11" x14ac:dyDescent="0.35">
      <c r="E39">
        <f>IF(C11&lt;=5000,C11*5%,10%)</f>
        <v>100</v>
      </c>
      <c r="F39">
        <f>IF(D36="METRO",C11*5%,IF(D36="NON METRO",C11*10%))</f>
        <v>100</v>
      </c>
      <c r="G39">
        <f>IF(C11&lt;=5000,500,C11*12%)</f>
        <v>500</v>
      </c>
    </row>
    <row r="44" spans="1:11" x14ac:dyDescent="0.35">
      <c r="A44" s="6" t="s">
        <v>90</v>
      </c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35">
      <c r="A49" t="s">
        <v>33</v>
      </c>
      <c r="B49" t="s">
        <v>35</v>
      </c>
      <c r="C49" t="s">
        <v>32</v>
      </c>
      <c r="D49" t="s">
        <v>49</v>
      </c>
      <c r="E49" t="s">
        <v>50</v>
      </c>
      <c r="F49" t="s">
        <v>38</v>
      </c>
      <c r="G49" t="s">
        <v>39</v>
      </c>
      <c r="H49" t="s">
        <v>40</v>
      </c>
      <c r="I49" t="s">
        <v>41</v>
      </c>
      <c r="J49" t="s">
        <v>51</v>
      </c>
      <c r="K49" t="s">
        <v>34</v>
      </c>
    </row>
    <row r="51" spans="1:11" x14ac:dyDescent="0.35">
      <c r="C51">
        <v>2000</v>
      </c>
      <c r="D51">
        <v>200</v>
      </c>
      <c r="E51">
        <v>5</v>
      </c>
      <c r="F51">
        <v>240</v>
      </c>
      <c r="G51">
        <v>300</v>
      </c>
      <c r="H51">
        <v>400</v>
      </c>
      <c r="I51">
        <f>SUM(C51,D51,F51,G51)</f>
        <v>2740</v>
      </c>
      <c r="J51">
        <f>C51/30*E51</f>
        <v>333.33333333333337</v>
      </c>
      <c r="K51">
        <f>I51-(J51+H51)</f>
        <v>2006.6666666666665</v>
      </c>
    </row>
  </sheetData>
  <mergeCells count="3">
    <mergeCell ref="A1:T8"/>
    <mergeCell ref="A27:K34"/>
    <mergeCell ref="A44:K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C860-6C16-400D-9451-DC86F7EA7DB4}">
  <dimension ref="A1:T22"/>
  <sheetViews>
    <sheetView zoomScale="90" zoomScaleNormal="90" workbookViewId="0">
      <selection activeCell="G20" sqref="G20"/>
    </sheetView>
  </sheetViews>
  <sheetFormatPr defaultRowHeight="14.5" x14ac:dyDescent="0.35"/>
  <sheetData>
    <row r="1" spans="1:20" x14ac:dyDescent="0.35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9" spans="1:20" x14ac:dyDescent="0.35">
      <c r="A9" t="s">
        <v>17</v>
      </c>
      <c r="B9" t="s">
        <v>18</v>
      </c>
      <c r="C9" t="s">
        <v>19</v>
      </c>
      <c r="D9" t="s">
        <v>24</v>
      </c>
      <c r="E9" t="s">
        <v>27</v>
      </c>
      <c r="F9" t="s">
        <v>20</v>
      </c>
      <c r="G9" t="s">
        <v>21</v>
      </c>
      <c r="H9" t="s">
        <v>22</v>
      </c>
    </row>
    <row r="10" spans="1:20" x14ac:dyDescent="0.35">
      <c r="A10">
        <v>101</v>
      </c>
      <c r="B10">
        <v>200</v>
      </c>
      <c r="C10">
        <v>5</v>
      </c>
      <c r="D10" t="s">
        <v>23</v>
      </c>
      <c r="E10" t="s">
        <v>28</v>
      </c>
      <c r="F10">
        <f>B10*C10</f>
        <v>1000</v>
      </c>
      <c r="G10">
        <f>F10*5/100</f>
        <v>50</v>
      </c>
      <c r="H10">
        <f>F10-G10</f>
        <v>950</v>
      </c>
    </row>
    <row r="11" spans="1:20" x14ac:dyDescent="0.35">
      <c r="A11">
        <v>102</v>
      </c>
      <c r="B11">
        <v>200</v>
      </c>
      <c r="C11">
        <v>5</v>
      </c>
      <c r="E11" t="s">
        <v>29</v>
      </c>
      <c r="F11">
        <f>B11*C11</f>
        <v>1000</v>
      </c>
      <c r="G11">
        <f>F11*5%</f>
        <v>50</v>
      </c>
      <c r="H11">
        <f>F11-G11</f>
        <v>950</v>
      </c>
    </row>
    <row r="12" spans="1:20" x14ac:dyDescent="0.35">
      <c r="E12" t="s">
        <v>28</v>
      </c>
    </row>
    <row r="13" spans="1:20" x14ac:dyDescent="0.35">
      <c r="E13" t="s">
        <v>30</v>
      </c>
    </row>
    <row r="14" spans="1:20" x14ac:dyDescent="0.35">
      <c r="D14" t="s">
        <v>26</v>
      </c>
    </row>
    <row r="16" spans="1:20" x14ac:dyDescent="0.35">
      <c r="A16">
        <v>109</v>
      </c>
      <c r="B16">
        <v>30</v>
      </c>
      <c r="C16">
        <v>10</v>
      </c>
      <c r="D16" t="s">
        <v>25</v>
      </c>
      <c r="E16" t="s">
        <v>29</v>
      </c>
      <c r="F16">
        <f>B16*C16</f>
        <v>300</v>
      </c>
      <c r="G16">
        <f>IF(F16&lt;=500,F16*5/100,F16*10/100)</f>
        <v>15</v>
      </c>
    </row>
    <row r="20" spans="5:7" x14ac:dyDescent="0.35">
      <c r="E20" t="s">
        <v>31</v>
      </c>
      <c r="F20" s="1">
        <v>0.05</v>
      </c>
      <c r="G20">
        <f>IF(E10="TEACHER",F10*5%,IF(E10="STAFF",F10*15%,F10*5%))</f>
        <v>50</v>
      </c>
    </row>
    <row r="21" spans="5:7" x14ac:dyDescent="0.35">
      <c r="E21" t="s">
        <v>29</v>
      </c>
      <c r="F21" s="1">
        <v>0.1</v>
      </c>
    </row>
    <row r="22" spans="5:7" x14ac:dyDescent="0.35">
      <c r="E22" t="s">
        <v>30</v>
      </c>
      <c r="F22" s="1">
        <v>0.15</v>
      </c>
    </row>
  </sheetData>
  <mergeCells count="1">
    <mergeCell ref="A1:T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F464-D688-498D-8998-17511268511A}">
  <dimension ref="A1:S8"/>
  <sheetViews>
    <sheetView tabSelected="1" topLeftCell="C1" zoomScale="70" zoomScaleNormal="70" workbookViewId="0">
      <selection activeCell="I6" sqref="I6"/>
    </sheetView>
  </sheetViews>
  <sheetFormatPr defaultRowHeight="14.5" x14ac:dyDescent="0.35"/>
  <sheetData>
    <row r="1" spans="1:19" x14ac:dyDescent="0.3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1:19" x14ac:dyDescent="0.35">
      <c r="A6">
        <v>1</v>
      </c>
      <c r="B6" t="s">
        <v>86</v>
      </c>
      <c r="C6">
        <v>33</v>
      </c>
      <c r="D6">
        <v>55</v>
      </c>
      <c r="E6">
        <v>66</v>
      </c>
      <c r="F6">
        <v>77</v>
      </c>
      <c r="G6">
        <v>8</v>
      </c>
      <c r="H6">
        <f>SUM(C6:G6)</f>
        <v>239</v>
      </c>
      <c r="I6">
        <f>MAX(C6:G6)</f>
        <v>77</v>
      </c>
      <c r="J6">
        <f>AVERAGE(C6:G6)</f>
        <v>47.8</v>
      </c>
      <c r="K6">
        <f>MIN(C6:G6)</f>
        <v>8</v>
      </c>
      <c r="L6" t="str">
        <f>IF(J6&lt;40,"Fail","Pass")</f>
        <v>Pass</v>
      </c>
      <c r="M6" t="str">
        <f>IF(J6&gt;=90,"A",IF(J6&gt;=80,"B", IF(J6&gt;=70,"C","D")))</f>
        <v>D</v>
      </c>
      <c r="N6" t="str">
        <f>IF(AND(C6&gt;=40,D6&gt;=40,E6&gt;=40,F6&gt;=40,G6&gt;=40),"Pass","Fail")</f>
        <v>Fail</v>
      </c>
      <c r="O6" t="str">
        <f>IF(OR(C6&gt;=40,D6&gt;=40,E6&gt;=40,F6&gt;=40,G6&gt;=40), "Pass","Fail")</f>
        <v>Pass</v>
      </c>
    </row>
    <row r="7" spans="1:19" x14ac:dyDescent="0.35">
      <c r="A7">
        <v>2</v>
      </c>
      <c r="B7" t="s">
        <v>87</v>
      </c>
      <c r="C7">
        <v>46</v>
      </c>
      <c r="D7">
        <v>56</v>
      </c>
      <c r="E7">
        <v>79</v>
      </c>
      <c r="F7">
        <v>64</v>
      </c>
      <c r="G7">
        <v>9</v>
      </c>
      <c r="H7">
        <f t="shared" ref="H7:H8" si="0">SUM(C7:G7)</f>
        <v>254</v>
      </c>
      <c r="I7">
        <f t="shared" ref="I7:I8" si="1">MAX(C7:G7)</f>
        <v>79</v>
      </c>
      <c r="J7">
        <f t="shared" ref="J7:J8" si="2">AVERAGE(C7:G7)</f>
        <v>50.8</v>
      </c>
      <c r="K7">
        <f t="shared" ref="K7:K8" si="3">MIN(C7:G7)</f>
        <v>9</v>
      </c>
      <c r="L7" t="str">
        <f t="shared" ref="L7:L8" si="4">IF(J7&lt;40,"Fail","Pass")</f>
        <v>Pass</v>
      </c>
      <c r="M7" t="str">
        <f t="shared" ref="M7:M8" si="5">IF(J7&gt;=90,"A",IF(J7&gt;=80,"B", IF(J7&gt;=70,"C","D")))</f>
        <v>D</v>
      </c>
      <c r="N7" t="str">
        <f>IF(AND(C7&gt;=40,D7&gt;=40,E7&gt;=40,F7&gt;=40,G7&gt;=40),"Pass","Fail")</f>
        <v>Fail</v>
      </c>
      <c r="O7" t="str">
        <f>IF(OR(C7&gt;=40,D7&gt;=40,E7&gt;=40,F7&gt;=40,G7&gt;=40), "Pass","Fail")</f>
        <v>Pass</v>
      </c>
    </row>
    <row r="8" spans="1:19" x14ac:dyDescent="0.35">
      <c r="A8">
        <v>3</v>
      </c>
      <c r="B8" t="s">
        <v>88</v>
      </c>
      <c r="C8">
        <v>32</v>
      </c>
      <c r="D8">
        <v>41</v>
      </c>
      <c r="E8">
        <v>54</v>
      </c>
      <c r="F8">
        <v>60</v>
      </c>
      <c r="G8">
        <v>3</v>
      </c>
      <c r="H8">
        <f t="shared" si="0"/>
        <v>190</v>
      </c>
      <c r="I8">
        <f t="shared" si="1"/>
        <v>60</v>
      </c>
      <c r="J8">
        <f t="shared" si="2"/>
        <v>38</v>
      </c>
      <c r="K8">
        <f t="shared" si="3"/>
        <v>3</v>
      </c>
      <c r="L8" t="str">
        <f t="shared" si="4"/>
        <v>Fail</v>
      </c>
      <c r="M8" t="str">
        <f t="shared" si="5"/>
        <v>D</v>
      </c>
      <c r="N8" t="str">
        <f>IF(AND(C8&gt;=40,D8&gt;=40,E8&gt;=40,F8&gt;=40,G8&gt;=40),"Pass","Fail")</f>
        <v>Fail</v>
      </c>
      <c r="O8" t="str">
        <f>IF(OR(C8&gt;=40,D8&gt;=40,E8&gt;=40,F8&gt;=40,G8&gt;=40), "Pass","Fail")</f>
        <v>Pass</v>
      </c>
    </row>
  </sheetData>
  <mergeCells count="1">
    <mergeCell ref="A1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tenzin choezin</dc:creator>
  <cp:lastModifiedBy>tenzin choezin</cp:lastModifiedBy>
  <dcterms:created xsi:type="dcterms:W3CDTF">2026-08-30T10:29:54Z</dcterms:created>
  <dcterms:modified xsi:type="dcterms:W3CDTF">2026-09-02T05:26:56Z</dcterms:modified>
</cp:coreProperties>
</file>